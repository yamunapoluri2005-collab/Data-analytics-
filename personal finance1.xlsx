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rinu\Desktop\"/>
    </mc:Choice>
  </mc:AlternateContent>
  <bookViews>
    <workbookView xWindow="0" yWindow="0" windowWidth="23040" windowHeight="9072" activeTab="1"/>
  </bookViews>
  <sheets>
    <sheet name="Sheet1" sheetId="3" r:id="rId1"/>
    <sheet name="Sheet3" sheetId="5" r:id="rId2"/>
    <sheet name="Sheet2" sheetId="2" r:id="rId3"/>
  </sheets>
  <definedNames>
    <definedName name="Slicer_Actual_amount">#N/A</definedName>
    <definedName name="Slicer_Category">#N/A</definedName>
    <definedName name="Slicer_Discript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<sst xmlns="http://schemas.openxmlformats.org/spreadsheetml/2006/main" count="236" uniqueCount="58">
  <si>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</si>
  <si>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</si>
  <si>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</si>
  <si>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</si>
  <si>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</si>
  <si>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</si>
  <si>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</si>
  <si>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</si>
  <si>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</si>
  <si>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</si>
  <si>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</si>
  <si>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</si>
  <si>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</si>
  <si>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</si>
  <si>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</si>
  <si>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</si>
  <si>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</si>
  <si>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</si>
  <si>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</si>
  <si>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</si>
  <si>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</si>
  <si>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</si>
  <si>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</si>
  <si>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</si>
  <si>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</si>
  <si>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</si>
  <si>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</si>
  <si>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</si>
  <si>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</si>
  <si>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</si>
  <si>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</si>
  <si>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</si>
  <si>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</si>
  <si>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</si>
  <si>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</si>
  <si>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</si>
  <si>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</si>
  <si>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</si>
  <si>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</si>
  <si>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</si>
  <si>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</si>
  <si>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</si>
  <si>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</si>
  <si>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</si>
  <si>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Jan</t>
  </si>
  <si>
    <t>Feb</t>
  </si>
  <si>
    <t>Mar</t>
  </si>
  <si>
    <t>Apr</t>
  </si>
  <si>
    <t>Jun</t>
  </si>
  <si>
    <t>Jul</t>
  </si>
  <si>
    <t>Aug</t>
  </si>
  <si>
    <t>Sep</t>
  </si>
  <si>
    <t>Oct</t>
  </si>
  <si>
    <t>Nov</t>
  </si>
  <si>
    <t>Dec</t>
  </si>
  <si>
    <t>Sum of Actual amount</t>
  </si>
  <si>
    <t>Count of Discription</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</si>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</sst>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5">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finance1.xlsx]Sheet1!PivotTable1</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5216-47E3-B44B-992B66C24A0F}"/>
            </c:ext>
          </c:extLst>
        </c:ser>
        <c:dLbls>
          <c:showLegendKey val="0"/>
          <c:showVal val="0"/>
          <c:showCatName val="0"/>
          <c:showSerName val="0"/>
          <c:showPercent val="0"/>
          <c:showBubbleSize val="0"/>
        </c:dLbls>
        <c:gapWidth val="182"/>
        <c:axId val="323839360"/>
        <c:axId val="323833120"/>
      </c:barChart>
      <c:catAx>
        <c:axId val="32383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33120"/>
        <c:crosses val="autoZero"/>
        <c:auto val="1"/>
        <c:lblAlgn val="ctr"/>
        <c:lblOffset val="100"/>
        <c:noMultiLvlLbl val="0"/>
      </c:catAx>
      <c:valAx>
        <c:axId val="32383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39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finance1.xlsx]Sheet1!PivotTable3</c:name>
    <c:fmtId val="1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Sheet1!$G$3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757-45AB-9314-C6606BF6BF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757-45AB-9314-C6606BF6BF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757-45AB-9314-C6606BF6BF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757-45AB-9314-C6606BF6BF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757-45AB-9314-C6606BF6BF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757-45AB-9314-C6606BF6BFB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757-45AB-9314-C6606BF6BFB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757-45AB-9314-C6606BF6BFB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757-45AB-9314-C6606BF6BFB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757-45AB-9314-C6606BF6BFB9}"/>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757-45AB-9314-C6606BF6BFB9}"/>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757-45AB-9314-C6606BF6BFB9}"/>
              </c:ext>
            </c:extLst>
          </c:dPt>
          <c:cat>
            <c:strRef>
              <c:f>Sheet1!$F$4:$F$16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Sheet1!$G$4:$G$16</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EC96-450C-9BA4-0A150E8C6BB0}"/>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finance1.xlsx]Sheet1!PivotTable4</c:name>
    <c:fmtId val="2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Sheet1!$J$3</c:f>
              <c:strCache>
                <c:ptCount val="1"/>
                <c:pt idx="0">
                  <c:v>Total</c:v>
                </c:pt>
              </c:strCache>
            </c:strRef>
          </c:tx>
          <c:spPr>
            <a:solidFill>
              <a:schemeClr val="accent1"/>
            </a:solidFill>
            <a:ln>
              <a:noFill/>
            </a:ln>
            <a:effectLst/>
            <a:sp3d/>
          </c:spPr>
          <c:invertIfNegative val="0"/>
          <c:cat>
            <c:strRef>
              <c:f>Sheet1!$I$4:$I$16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Sheet1!$J$4:$J$16</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376E-4929-97E8-A382012548FC}"/>
            </c:ext>
          </c:extLst>
        </c:ser>
        <c:dLbls>
          <c:showLegendKey val="0"/>
          <c:showVal val="0"/>
          <c:showCatName val="0"/>
          <c:showSerName val="0"/>
          <c:showPercent val="0"/>
          <c:showBubbleSize val="0"/>
        </c:dLbls>
        <c:gapWidth val="150"/>
        <c:shape val="box"/>
        <c:axId val="505585184"/>
        <c:axId val="505588096"/>
        <c:axId val="0"/>
      </c:bar3DChart>
      <c:catAx>
        <c:axId val="50558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88096"/>
        <c:crosses val="autoZero"/>
        <c:auto val="1"/>
        <c:lblAlgn val="ctr"/>
        <c:lblOffset val="100"/>
        <c:noMultiLvlLbl val="0"/>
      </c:catAx>
      <c:valAx>
        <c:axId val="50558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85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finance1.xlsx]Sheet1!PivotTable1</c:name>
    <c:fmtId val="2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23900</c:v>
                </c:pt>
                <c:pt idx="1">
                  <c:v>24600</c:v>
                </c:pt>
                <c:pt idx="2">
                  <c:v>22300</c:v>
                </c:pt>
                <c:pt idx="3">
                  <c:v>24200</c:v>
                </c:pt>
                <c:pt idx="4">
                  <c:v>24400</c:v>
                </c:pt>
                <c:pt idx="5">
                  <c:v>26000</c:v>
                </c:pt>
                <c:pt idx="6">
                  <c:v>22900</c:v>
                </c:pt>
                <c:pt idx="7">
                  <c:v>24500</c:v>
                </c:pt>
                <c:pt idx="8">
                  <c:v>23400</c:v>
                </c:pt>
                <c:pt idx="9">
                  <c:v>26500</c:v>
                </c:pt>
                <c:pt idx="10">
                  <c:v>24300</c:v>
                </c:pt>
                <c:pt idx="11">
                  <c:v>28000</c:v>
                </c:pt>
              </c:numCache>
            </c:numRef>
          </c:val>
          <c:extLst>
            <c:ext xmlns:c16="http://schemas.microsoft.com/office/drawing/2014/chart" uri="{C3380CC4-5D6E-409C-BE32-E72D297353CC}">
              <c16:uniqueId val="{00000000-DD4C-45E1-A3B7-737C296DEA9A}"/>
            </c:ext>
          </c:extLst>
        </c:ser>
        <c:dLbls>
          <c:showLegendKey val="0"/>
          <c:showVal val="0"/>
          <c:showCatName val="0"/>
          <c:showSerName val="0"/>
          <c:showPercent val="0"/>
          <c:showBubbleSize val="0"/>
        </c:dLbls>
        <c:gapWidth val="182"/>
        <c:axId val="323839360"/>
        <c:axId val="323833120"/>
      </c:barChart>
      <c:catAx>
        <c:axId val="32383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33120"/>
        <c:crosses val="autoZero"/>
        <c:auto val="1"/>
        <c:lblAlgn val="ctr"/>
        <c:lblOffset val="100"/>
        <c:noMultiLvlLbl val="0"/>
      </c:catAx>
      <c:valAx>
        <c:axId val="32383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39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finance1.xlsx]Sheet1!PivotTable4</c:name>
    <c:fmtId val="2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Sheet1!$J$3</c:f>
              <c:strCache>
                <c:ptCount val="1"/>
                <c:pt idx="0">
                  <c:v>Total</c:v>
                </c:pt>
              </c:strCache>
            </c:strRef>
          </c:tx>
          <c:spPr>
            <a:solidFill>
              <a:schemeClr val="accent1"/>
            </a:solidFill>
            <a:ln>
              <a:noFill/>
            </a:ln>
            <a:effectLst/>
            <a:sp3d/>
          </c:spPr>
          <c:invertIfNegative val="0"/>
          <c:cat>
            <c:strRef>
              <c:f>Sheet1!$I$4:$I$16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Sheet1!$J$4:$J$16</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00-A171-40B2-8456-1D09D49B1367}"/>
            </c:ext>
          </c:extLst>
        </c:ser>
        <c:dLbls>
          <c:showLegendKey val="0"/>
          <c:showVal val="0"/>
          <c:showCatName val="0"/>
          <c:showSerName val="0"/>
          <c:showPercent val="0"/>
          <c:showBubbleSize val="0"/>
        </c:dLbls>
        <c:gapWidth val="150"/>
        <c:shape val="box"/>
        <c:axId val="505585184"/>
        <c:axId val="505588096"/>
        <c:axId val="0"/>
      </c:bar3DChart>
      <c:catAx>
        <c:axId val="505585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88096"/>
        <c:crosses val="autoZero"/>
        <c:auto val="1"/>
        <c:lblAlgn val="ctr"/>
        <c:lblOffset val="100"/>
        <c:noMultiLvlLbl val="0"/>
      </c:catAx>
      <c:valAx>
        <c:axId val="50558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85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finance1.xlsx]Sheet1!PivotTable3</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Sheet1!$G$3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53-43CC-8436-116A9D07845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53-43CC-8436-116A9D07845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A53-43CC-8436-116A9D07845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A53-43CC-8436-116A9D07845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A53-43CC-8436-116A9D07845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A53-43CC-8436-116A9D07845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A53-43CC-8436-116A9D07845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A53-43CC-8436-116A9D07845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A53-43CC-8436-116A9D07845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A53-43CC-8436-116A9D07845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A53-43CC-8436-116A9D07845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6A53-43CC-8436-116A9D078453}"/>
              </c:ext>
            </c:extLst>
          </c:dPt>
          <c:cat>
            <c:strRef>
              <c:f>Sheet1!$F$4:$F$16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Sheet1!$G$4:$G$16</c:f>
              <c:numCache>
                <c:formatCode>General</c:formatCode>
                <c:ptCount val="12"/>
                <c:pt idx="0">
                  <c:v>5</c:v>
                </c:pt>
                <c:pt idx="1">
                  <c:v>5</c:v>
                </c:pt>
                <c:pt idx="2">
                  <c:v>5</c:v>
                </c:pt>
                <c:pt idx="3">
                  <c:v>5</c:v>
                </c:pt>
                <c:pt idx="4">
                  <c:v>5</c:v>
                </c:pt>
                <c:pt idx="5">
                  <c:v>5</c:v>
                </c:pt>
                <c:pt idx="6">
                  <c:v>5</c:v>
                </c:pt>
                <c:pt idx="7">
                  <c:v>5</c:v>
                </c:pt>
                <c:pt idx="8">
                  <c:v>5</c:v>
                </c:pt>
                <c:pt idx="9">
                  <c:v>5</c:v>
                </c:pt>
                <c:pt idx="10">
                  <c:v>5</c:v>
                </c:pt>
                <c:pt idx="11">
                  <c:v>5</c:v>
                </c:pt>
              </c:numCache>
            </c:numRef>
          </c:val>
          <c:extLst>
            <c:ext xmlns:c16="http://schemas.microsoft.com/office/drawing/2014/chart" uri="{C3380CC4-5D6E-409C-BE32-E72D297353CC}">
              <c16:uniqueId val="{00000018-6A53-43CC-8436-116A9D078453}"/>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1280160</xdr:colOff>
      <xdr:row>6</xdr:row>
      <xdr:rowOff>91440</xdr:rowOff>
    </xdr:from>
    <xdr:to>
      <xdr:col>6</xdr:col>
      <xdr:colOff>38100</xdr:colOff>
      <xdr:row>20</xdr:row>
      <xdr:rowOff>104775</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08220" y="1143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9</xdr:row>
      <xdr:rowOff>45720</xdr:rowOff>
    </xdr:from>
    <xdr:to>
      <xdr:col>6</xdr:col>
      <xdr:colOff>518160</xdr:colOff>
      <xdr:row>23</xdr:row>
      <xdr:rowOff>59055</xdr:rowOff>
    </xdr:to>
    <mc:AlternateContent xmlns:mc="http://schemas.openxmlformats.org/markup-compatibility/2006" xmlns:a14="http://schemas.microsoft.com/office/drawing/2010/main">
      <mc:Choice Requires="a14">
        <xdr:graphicFrame macro="">
          <xdr:nvGraphicFramePr>
            <xdr:cNvPr id="3"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mlns="">
        <xdr:sp macro="" textlink="">
          <xdr:nvSpPr>
            <xdr:cNvPr id="0" name=""/>
            <xdr:cNvSpPr>
              <a:spLocks noTextEdit="1"/>
            </xdr:cNvSpPr>
          </xdr:nvSpPr>
          <xdr:spPr>
            <a:xfrm>
              <a:off x="5288280" y="1623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167640</xdr:colOff>
      <xdr:row>12</xdr:row>
      <xdr:rowOff>0</xdr:rowOff>
    </xdr:from>
    <xdr:to>
      <xdr:col>6</xdr:col>
      <xdr:colOff>998220</xdr:colOff>
      <xdr:row>26</xdr:row>
      <xdr:rowOff>13335</xdr:rowOff>
    </xdr:to>
    <mc:AlternateContent xmlns:mc="http://schemas.openxmlformats.org/markup-compatibility/2006" xmlns:a14="http://schemas.microsoft.com/office/drawing/2010/main">
      <mc:Choice Requires="a14">
        <xdr:graphicFrame macro="">
          <xdr:nvGraphicFramePr>
            <xdr:cNvPr id="4" name="Actual amount"/>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mlns="">
        <xdr:sp macro="" textlink="">
          <xdr:nvSpPr>
            <xdr:cNvPr id="0" name=""/>
            <xdr:cNvSpPr>
              <a:spLocks noTextEdit="1"/>
            </xdr:cNvSpPr>
          </xdr:nvSpPr>
          <xdr:spPr>
            <a:xfrm>
              <a:off x="5768340" y="2103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982980</xdr:colOff>
      <xdr:row>26</xdr:row>
      <xdr:rowOff>72390</xdr:rowOff>
    </xdr:from>
    <xdr:to>
      <xdr:col>4</xdr:col>
      <xdr:colOff>624840</xdr:colOff>
      <xdr:row>42</xdr:row>
      <xdr:rowOff>11430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40</xdr:row>
      <xdr:rowOff>57150</xdr:rowOff>
    </xdr:from>
    <xdr:to>
      <xdr:col>9</xdr:col>
      <xdr:colOff>1021080</xdr:colOff>
      <xdr:row>55</xdr:row>
      <xdr:rowOff>171450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xdr:colOff>
      <xdr:row>26</xdr:row>
      <xdr:rowOff>49530</xdr:rowOff>
    </xdr:from>
    <xdr:to>
      <xdr:col>9</xdr:col>
      <xdr:colOff>1021080</xdr:colOff>
      <xdr:row>41</xdr:row>
      <xdr:rowOff>163830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0</xdr:row>
      <xdr:rowOff>99060</xdr:rowOff>
    </xdr:from>
    <xdr:to>
      <xdr:col>18</xdr:col>
      <xdr:colOff>358140</xdr:colOff>
      <xdr:row>4</xdr:row>
      <xdr:rowOff>114300</xdr:rowOff>
    </xdr:to>
    <xdr:sp macro="" textlink="">
      <xdr:nvSpPr>
        <xdr:cNvPr id="2" name="Rounded Rectangle 1"/>
        <xdr:cNvSpPr/>
      </xdr:nvSpPr>
      <xdr:spPr>
        <a:xfrm>
          <a:off x="281940" y="99060"/>
          <a:ext cx="12146280" cy="716280"/>
        </a:xfrm>
        <a:prstGeom prst="round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1100"/>
            <a:t>			</a:t>
          </a:r>
          <a:r>
            <a:rPr lang="en-IN" sz="2400" b="1"/>
            <a:t>personal finance budget Dashboard</a:t>
          </a:r>
        </a:p>
      </xdr:txBody>
    </xdr:sp>
    <xdr:clientData/>
  </xdr:twoCellAnchor>
  <xdr:twoCellAnchor>
    <xdr:from>
      <xdr:col>0</xdr:col>
      <xdr:colOff>274320</xdr:colOff>
      <xdr:row>6</xdr:row>
      <xdr:rowOff>53340</xdr:rowOff>
    </xdr:from>
    <xdr:to>
      <xdr:col>4</xdr:col>
      <xdr:colOff>464820</xdr:colOff>
      <xdr:row>13</xdr:row>
      <xdr:rowOff>53340</xdr:rowOff>
    </xdr:to>
    <xdr:sp macro="" textlink="">
      <xdr:nvSpPr>
        <xdr:cNvPr id="4" name="Rounded Rectangle 3"/>
        <xdr:cNvSpPr/>
      </xdr:nvSpPr>
      <xdr:spPr>
        <a:xfrm>
          <a:off x="274320" y="1104900"/>
          <a:ext cx="2872740" cy="12268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tty</a:t>
          </a:r>
        </a:p>
      </xdr:txBody>
    </xdr:sp>
    <xdr:clientData/>
  </xdr:twoCellAnchor>
  <xdr:twoCellAnchor>
    <xdr:from>
      <xdr:col>0</xdr:col>
      <xdr:colOff>274320</xdr:colOff>
      <xdr:row>6</xdr:row>
      <xdr:rowOff>60960</xdr:rowOff>
    </xdr:from>
    <xdr:to>
      <xdr:col>2</xdr:col>
      <xdr:colOff>236220</xdr:colOff>
      <xdr:row>13</xdr:row>
      <xdr:rowOff>53340</xdr:rowOff>
    </xdr:to>
    <xdr:sp macro="" textlink="">
      <xdr:nvSpPr>
        <xdr:cNvPr id="5" name="Rounded Rectangle 4"/>
        <xdr:cNvSpPr/>
      </xdr:nvSpPr>
      <xdr:spPr>
        <a:xfrm>
          <a:off x="274320" y="1112520"/>
          <a:ext cx="1303020" cy="1219200"/>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220980</xdr:colOff>
      <xdr:row>7</xdr:row>
      <xdr:rowOff>30481</xdr:rowOff>
    </xdr:from>
    <xdr:ext cx="1651546" cy="426720"/>
    <xdr:sp macro="" textlink="">
      <xdr:nvSpPr>
        <xdr:cNvPr id="6" name="TextBox 5"/>
        <xdr:cNvSpPr txBox="1"/>
      </xdr:nvSpPr>
      <xdr:spPr>
        <a:xfrm>
          <a:off x="1562100" y="1257301"/>
          <a:ext cx="1651546" cy="42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t>Total</a:t>
          </a:r>
          <a:r>
            <a:rPr lang="en-IN" sz="1100" baseline="0"/>
            <a:t> </a:t>
          </a:r>
          <a:r>
            <a:rPr lang="en-IN" sz="1400" b="1" baseline="0"/>
            <a:t>expences</a:t>
          </a:r>
          <a:endParaRPr lang="en-IN" sz="1400" b="1"/>
        </a:p>
      </xdr:txBody>
    </xdr:sp>
    <xdr:clientData/>
  </xdr:oneCellAnchor>
  <xdr:twoCellAnchor>
    <xdr:from>
      <xdr:col>6</xdr:col>
      <xdr:colOff>126154</xdr:colOff>
      <xdr:row>6</xdr:row>
      <xdr:rowOff>84667</xdr:rowOff>
    </xdr:from>
    <xdr:to>
      <xdr:col>10</xdr:col>
      <xdr:colOff>606214</xdr:colOff>
      <xdr:row>13</xdr:row>
      <xdr:rowOff>107527</xdr:rowOff>
    </xdr:to>
    <xdr:sp macro="" textlink="">
      <xdr:nvSpPr>
        <xdr:cNvPr id="7" name="Rounded Rectangle 6"/>
        <xdr:cNvSpPr/>
      </xdr:nvSpPr>
      <xdr:spPr>
        <a:xfrm>
          <a:off x="4139354" y="1151467"/>
          <a:ext cx="3155527" cy="12674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h</a:t>
          </a:r>
        </a:p>
      </xdr:txBody>
    </xdr:sp>
    <xdr:clientData/>
  </xdr:twoCellAnchor>
  <xdr:twoCellAnchor>
    <xdr:from>
      <xdr:col>6</xdr:col>
      <xdr:colOff>91440</xdr:colOff>
      <xdr:row>6</xdr:row>
      <xdr:rowOff>91439</xdr:rowOff>
    </xdr:from>
    <xdr:to>
      <xdr:col>8</xdr:col>
      <xdr:colOff>91440</xdr:colOff>
      <xdr:row>13</xdr:row>
      <xdr:rowOff>110066</xdr:rowOff>
    </xdr:to>
    <xdr:sp macro="" textlink="">
      <xdr:nvSpPr>
        <xdr:cNvPr id="9" name="Rounded Rectangle 8"/>
        <xdr:cNvSpPr/>
      </xdr:nvSpPr>
      <xdr:spPr>
        <a:xfrm>
          <a:off x="4104640" y="1158239"/>
          <a:ext cx="1337733" cy="1263227"/>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579120</xdr:colOff>
      <xdr:row>6</xdr:row>
      <xdr:rowOff>76200</xdr:rowOff>
    </xdr:from>
    <xdr:to>
      <xdr:col>17</xdr:col>
      <xdr:colOff>388620</xdr:colOff>
      <xdr:row>13</xdr:row>
      <xdr:rowOff>99060</xdr:rowOff>
    </xdr:to>
    <xdr:sp macro="" textlink="">
      <xdr:nvSpPr>
        <xdr:cNvPr id="10" name="Rounded Rectangle 9"/>
        <xdr:cNvSpPr/>
      </xdr:nvSpPr>
      <xdr:spPr>
        <a:xfrm>
          <a:off x="7955280" y="1127760"/>
          <a:ext cx="3832860" cy="12496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h</a:t>
          </a:r>
        </a:p>
      </xdr:txBody>
    </xdr:sp>
    <xdr:clientData/>
  </xdr:twoCellAnchor>
  <xdr:twoCellAnchor>
    <xdr:from>
      <xdr:col>11</xdr:col>
      <xdr:colOff>586740</xdr:colOff>
      <xdr:row>6</xdr:row>
      <xdr:rowOff>91439</xdr:rowOff>
    </xdr:from>
    <xdr:to>
      <xdr:col>13</xdr:col>
      <xdr:colOff>586740</xdr:colOff>
      <xdr:row>13</xdr:row>
      <xdr:rowOff>110066</xdr:rowOff>
    </xdr:to>
    <xdr:sp macro="" textlink="">
      <xdr:nvSpPr>
        <xdr:cNvPr id="11" name="Rounded Rectangle 10"/>
        <xdr:cNvSpPr/>
      </xdr:nvSpPr>
      <xdr:spPr>
        <a:xfrm>
          <a:off x="7944273" y="1158239"/>
          <a:ext cx="1337734" cy="1263227"/>
        </a:xfrm>
        <a:prstGeom prst="round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304800</xdr:colOff>
      <xdr:row>8</xdr:row>
      <xdr:rowOff>7620</xdr:rowOff>
    </xdr:from>
    <xdr:ext cx="1059180" cy="343625"/>
    <xdr:sp macro="" textlink="">
      <xdr:nvSpPr>
        <xdr:cNvPr id="12" name="TextBox 11"/>
        <xdr:cNvSpPr txBox="1"/>
      </xdr:nvSpPr>
      <xdr:spPr>
        <a:xfrm>
          <a:off x="5669280" y="1409700"/>
          <a:ext cx="1059180" cy="343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Average</a:t>
          </a:r>
        </a:p>
      </xdr:txBody>
    </xdr:sp>
    <xdr:clientData/>
  </xdr:oneCellAnchor>
  <xdr:oneCellAnchor>
    <xdr:from>
      <xdr:col>13</xdr:col>
      <xdr:colOff>647700</xdr:colOff>
      <xdr:row>7</xdr:row>
      <xdr:rowOff>144780</xdr:rowOff>
    </xdr:from>
    <xdr:ext cx="2453848" cy="358865"/>
    <xdr:sp macro="" textlink="">
      <xdr:nvSpPr>
        <xdr:cNvPr id="13" name="TextBox 12"/>
        <xdr:cNvSpPr txBox="1"/>
      </xdr:nvSpPr>
      <xdr:spPr>
        <a:xfrm>
          <a:off x="9364980" y="1371600"/>
          <a:ext cx="2453848" cy="358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Average expensive</a:t>
          </a:r>
          <a:r>
            <a:rPr lang="en-IN" sz="1100" b="1" baseline="0"/>
            <a:t> by month</a:t>
          </a:r>
          <a:endParaRPr lang="en-IN" sz="1100" b="1"/>
        </a:p>
      </xdr:txBody>
    </xdr:sp>
    <xdr:clientData/>
  </xdr:oneCellAnchor>
  <xdr:oneCellAnchor>
    <xdr:from>
      <xdr:col>2</xdr:col>
      <xdr:colOff>469900</xdr:colOff>
      <xdr:row>10</xdr:row>
      <xdr:rowOff>9314</xdr:rowOff>
    </xdr:from>
    <xdr:ext cx="1015663" cy="353815"/>
    <xdr:sp macro="" textlink="Sheet2!H6">
      <xdr:nvSpPr>
        <xdr:cNvPr id="14" name="TextBox 13"/>
        <xdr:cNvSpPr txBox="1"/>
      </xdr:nvSpPr>
      <xdr:spPr>
        <a:xfrm>
          <a:off x="1807633" y="1787314"/>
          <a:ext cx="1015663"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8373E29-C7FD-4849-A9FB-5AD4217C0A4E}" type="TxLink">
            <a:rPr lang="en-US" sz="1800" b="1" i="0" u="none" strike="noStrike">
              <a:solidFill>
                <a:srgbClr val="000000"/>
              </a:solidFill>
              <a:latin typeface="Aptos Narrow"/>
            </a:rPr>
            <a:pPr/>
            <a:t>283000</a:t>
          </a:fld>
          <a:endParaRPr lang="en-IN" sz="1800" b="1"/>
        </a:p>
      </xdr:txBody>
    </xdr:sp>
    <xdr:clientData/>
  </xdr:oneCellAnchor>
  <xdr:oneCellAnchor>
    <xdr:from>
      <xdr:col>8</xdr:col>
      <xdr:colOff>389467</xdr:colOff>
      <xdr:row>11</xdr:row>
      <xdr:rowOff>0</xdr:rowOff>
    </xdr:from>
    <xdr:ext cx="184731" cy="252185"/>
    <xdr:sp macro="" textlink="">
      <xdr:nvSpPr>
        <xdr:cNvPr id="15" name="TextBox 14"/>
        <xdr:cNvSpPr txBox="1"/>
      </xdr:nvSpPr>
      <xdr:spPr>
        <a:xfrm>
          <a:off x="5740400" y="1955800"/>
          <a:ext cx="184731" cy="2521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8</xdr:col>
      <xdr:colOff>203200</xdr:colOff>
      <xdr:row>10</xdr:row>
      <xdr:rowOff>101601</xdr:rowOff>
    </xdr:from>
    <xdr:ext cx="1759017" cy="417902"/>
    <xdr:sp macro="" textlink="Sheet2!H15">
      <xdr:nvSpPr>
        <xdr:cNvPr id="16" name="TextBox 15"/>
        <xdr:cNvSpPr txBox="1"/>
      </xdr:nvSpPr>
      <xdr:spPr>
        <a:xfrm>
          <a:off x="5554133" y="1879601"/>
          <a:ext cx="1759017" cy="417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4328C41-94C6-4830-AF98-C7825408C4B3}" type="TxLink">
            <a:rPr lang="en-US" sz="1600" b="1" i="0" u="none" strike="noStrike">
              <a:solidFill>
                <a:srgbClr val="000000"/>
              </a:solidFill>
              <a:latin typeface="Aptos Narrow"/>
            </a:rPr>
            <a:pPr/>
            <a:t>4796.610169</a:t>
          </a:fld>
          <a:endParaRPr lang="en-IN" sz="1600" b="1"/>
        </a:p>
      </xdr:txBody>
    </xdr:sp>
    <xdr:clientData/>
  </xdr:oneCellAnchor>
  <xdr:oneCellAnchor>
    <xdr:from>
      <xdr:col>14</xdr:col>
      <xdr:colOff>211667</xdr:colOff>
      <xdr:row>10</xdr:row>
      <xdr:rowOff>160867</xdr:rowOff>
    </xdr:from>
    <xdr:ext cx="738664" cy="353815"/>
    <xdr:sp macro="" textlink="Sheet2!H29">
      <xdr:nvSpPr>
        <xdr:cNvPr id="17" name="TextBox 16"/>
        <xdr:cNvSpPr txBox="1"/>
      </xdr:nvSpPr>
      <xdr:spPr>
        <a:xfrm>
          <a:off x="9575800" y="1938867"/>
          <a:ext cx="738664"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5E62A03-7C4D-425C-BE9C-54C7CCD1321A}" type="TxLink">
            <a:rPr lang="en-US" sz="1800" b="1" i="0" u="none" strike="noStrike">
              <a:solidFill>
                <a:srgbClr val="000000"/>
              </a:solidFill>
              <a:latin typeface="Aptos Narrow"/>
            </a:rPr>
            <a:pPr/>
            <a:t>4780</a:t>
          </a:fld>
          <a:endParaRPr lang="en-IN" sz="1800" b="1"/>
        </a:p>
      </xdr:txBody>
    </xdr:sp>
    <xdr:clientData/>
  </xdr:oneCellAnchor>
  <xdr:twoCellAnchor editAs="oneCell">
    <xdr:from>
      <xdr:col>0</xdr:col>
      <xdr:colOff>381000</xdr:colOff>
      <xdr:row>15</xdr:row>
      <xdr:rowOff>160866</xdr:rowOff>
    </xdr:from>
    <xdr:to>
      <xdr:col>3</xdr:col>
      <xdr:colOff>203200</xdr:colOff>
      <xdr:row>29</xdr:row>
      <xdr:rowOff>138641</xdr:rowOff>
    </xdr:to>
    <mc:AlternateContent xmlns:mc="http://schemas.openxmlformats.org/markup-compatibility/2006" xmlns:a14="http://schemas.microsoft.com/office/drawing/2010/main">
      <mc:Choice Requires="a14">
        <xdr:graphicFrame macro="">
          <xdr:nvGraphicFramePr>
            <xdr:cNvPr id="18" name="Actual amount 1"/>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mlns="">
        <xdr:sp macro="" textlink="">
          <xdr:nvSpPr>
            <xdr:cNvPr id="0" name=""/>
            <xdr:cNvSpPr>
              <a:spLocks noTextEdit="1"/>
            </xdr:cNvSpPr>
          </xdr:nvSpPr>
          <xdr:spPr>
            <a:xfrm>
              <a:off x="381000" y="2777372"/>
              <a:ext cx="1832778" cy="2419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330506</xdr:colOff>
      <xdr:row>31</xdr:row>
      <xdr:rowOff>119350</xdr:rowOff>
    </xdr:from>
    <xdr:to>
      <xdr:col>3</xdr:col>
      <xdr:colOff>148728</xdr:colOff>
      <xdr:row>45</xdr:row>
      <xdr:rowOff>144253</xdr:rowOff>
    </xdr:to>
    <mc:AlternateContent xmlns:mc="http://schemas.openxmlformats.org/markup-compatibility/2006" xmlns:a14="http://schemas.microsoft.com/office/drawing/2010/main">
      <mc:Choice Requires="a14">
        <xdr:graphicFrame macro="">
          <xdr:nvGraphicFramePr>
            <xdr:cNvPr id="19" name="Discription 1"/>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mlns="">
        <xdr:sp macro="" textlink="">
          <xdr:nvSpPr>
            <xdr:cNvPr id="0" name=""/>
            <xdr:cNvSpPr>
              <a:spLocks noTextEdit="1"/>
            </xdr:cNvSpPr>
          </xdr:nvSpPr>
          <xdr:spPr>
            <a:xfrm>
              <a:off x="330506" y="55267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302964</xdr:colOff>
      <xdr:row>47</xdr:row>
      <xdr:rowOff>36723</xdr:rowOff>
    </xdr:from>
    <xdr:to>
      <xdr:col>3</xdr:col>
      <xdr:colOff>121186</xdr:colOff>
      <xdr:row>61</xdr:row>
      <xdr:rowOff>61626</xdr:rowOff>
    </xdr:to>
    <mc:AlternateContent xmlns:mc="http://schemas.openxmlformats.org/markup-compatibility/2006" xmlns:a14="http://schemas.microsoft.com/office/drawing/2010/main">
      <mc:Choice Requires="a14">
        <xdr:graphicFrame macro="">
          <xdr:nvGraphicFramePr>
            <xdr:cNvPr id="20"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2964" y="823510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18</xdr:row>
      <xdr:rowOff>0</xdr:rowOff>
    </xdr:from>
    <xdr:to>
      <xdr:col>11</xdr:col>
      <xdr:colOff>550844</xdr:colOff>
      <xdr:row>33</xdr:row>
      <xdr:rowOff>126694</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18</xdr:row>
      <xdr:rowOff>0</xdr:rowOff>
    </xdr:from>
    <xdr:to>
      <xdr:col>19</xdr:col>
      <xdr:colOff>550843</xdr:colOff>
      <xdr:row>33</xdr:row>
      <xdr:rowOff>126694</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37</xdr:row>
      <xdr:rowOff>0</xdr:rowOff>
    </xdr:from>
    <xdr:to>
      <xdr:col>16</xdr:col>
      <xdr:colOff>550844</xdr:colOff>
      <xdr:row>52</xdr:row>
      <xdr:rowOff>126694</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rinu" refreshedDate="46043.468678819445" createdVersion="6" refreshedVersion="6" minRefreshableVersion="3" recordCount="60">
  <cacheSource type="worksheet">
    <worksheetSource ref="A1:E61" sheet="Sheet2"/>
  </cacheSource>
  <cacheFields count="6">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fieldGroup par="5" base="0">
        <rangePr groupBy="days" startDate="2025-01-05T00:00:00" endDate="2025-12-27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12-2025"/>
        </groupItems>
      </fieldGroup>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ount="33">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 name="Months" numFmtId="0" databaseField="0">
      <fieldGroup base="0">
        <rangePr groupBy="months" startDate="2025-01-05T00:00:00" endDate="2025-12-27T00:00:00"/>
        <groupItems count="14">
          <s v="&lt;05-01-2025"/>
          <s v="Jan"/>
          <s v="Feb"/>
          <s v="Mar"/>
          <s v="Apr"/>
          <s v="May"/>
          <s v="Jun"/>
          <s v="Jul"/>
          <s v="Aug"/>
          <s v="Sep"/>
          <s v="Oct"/>
          <s v="Nov"/>
          <s v="Dec"/>
          <s v="&gt;27-12-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x v="0"/>
  </r>
  <r>
    <x v="1"/>
    <x v="0"/>
    <x v="1"/>
    <x v="1"/>
    <x v="1"/>
  </r>
  <r>
    <x v="2"/>
    <x v="0"/>
    <x v="2"/>
    <x v="2"/>
    <x v="2"/>
  </r>
  <r>
    <x v="3"/>
    <x v="0"/>
    <x v="3"/>
    <x v="3"/>
    <x v="3"/>
  </r>
  <r>
    <x v="4"/>
    <x v="0"/>
    <x v="4"/>
    <x v="4"/>
    <x v="4"/>
  </r>
  <r>
    <x v="5"/>
    <x v="1"/>
    <x v="0"/>
    <x v="0"/>
    <x v="0"/>
  </r>
  <r>
    <x v="6"/>
    <x v="1"/>
    <x v="1"/>
    <x v="1"/>
    <x v="5"/>
  </r>
  <r>
    <x v="7"/>
    <x v="1"/>
    <x v="2"/>
    <x v="2"/>
    <x v="6"/>
  </r>
  <r>
    <x v="8"/>
    <x v="1"/>
    <x v="3"/>
    <x v="3"/>
    <x v="7"/>
  </r>
  <r>
    <x v="9"/>
    <x v="1"/>
    <x v="4"/>
    <x v="5"/>
    <x v="8"/>
  </r>
  <r>
    <x v="10"/>
    <x v="2"/>
    <x v="0"/>
    <x v="0"/>
    <x v="0"/>
  </r>
  <r>
    <x v="11"/>
    <x v="2"/>
    <x v="1"/>
    <x v="1"/>
    <x v="9"/>
  </r>
  <r>
    <x v="12"/>
    <x v="2"/>
    <x v="2"/>
    <x v="6"/>
    <x v="4"/>
  </r>
  <r>
    <x v="13"/>
    <x v="2"/>
    <x v="3"/>
    <x v="7"/>
    <x v="10"/>
  </r>
  <r>
    <x v="14"/>
    <x v="2"/>
    <x v="4"/>
    <x v="4"/>
    <x v="3"/>
  </r>
  <r>
    <x v="15"/>
    <x v="3"/>
    <x v="0"/>
    <x v="0"/>
    <x v="0"/>
  </r>
  <r>
    <x v="16"/>
    <x v="3"/>
    <x v="1"/>
    <x v="1"/>
    <x v="11"/>
  </r>
  <r>
    <x v="17"/>
    <x v="3"/>
    <x v="2"/>
    <x v="8"/>
    <x v="12"/>
  </r>
  <r>
    <x v="18"/>
    <x v="3"/>
    <x v="3"/>
    <x v="3"/>
    <x v="13"/>
  </r>
  <r>
    <x v="19"/>
    <x v="3"/>
    <x v="4"/>
    <x v="4"/>
    <x v="14"/>
  </r>
  <r>
    <x v="20"/>
    <x v="4"/>
    <x v="0"/>
    <x v="0"/>
    <x v="0"/>
  </r>
  <r>
    <x v="21"/>
    <x v="4"/>
    <x v="1"/>
    <x v="1"/>
    <x v="15"/>
  </r>
  <r>
    <x v="22"/>
    <x v="4"/>
    <x v="2"/>
    <x v="8"/>
    <x v="16"/>
  </r>
  <r>
    <x v="23"/>
    <x v="4"/>
    <x v="3"/>
    <x v="9"/>
    <x v="17"/>
  </r>
  <r>
    <x v="24"/>
    <x v="4"/>
    <x v="4"/>
    <x v="4"/>
    <x v="4"/>
  </r>
  <r>
    <x v="25"/>
    <x v="5"/>
    <x v="0"/>
    <x v="0"/>
    <x v="0"/>
  </r>
  <r>
    <x v="26"/>
    <x v="5"/>
    <x v="1"/>
    <x v="1"/>
    <x v="18"/>
  </r>
  <r>
    <x v="27"/>
    <x v="5"/>
    <x v="2"/>
    <x v="8"/>
    <x v="19"/>
  </r>
  <r>
    <x v="28"/>
    <x v="5"/>
    <x v="3"/>
    <x v="10"/>
    <x v="2"/>
  </r>
  <r>
    <x v="29"/>
    <x v="5"/>
    <x v="4"/>
    <x v="4"/>
    <x v="20"/>
  </r>
  <r>
    <x v="30"/>
    <x v="6"/>
    <x v="0"/>
    <x v="0"/>
    <x v="0"/>
  </r>
  <r>
    <x v="31"/>
    <x v="6"/>
    <x v="1"/>
    <x v="1"/>
    <x v="21"/>
  </r>
  <r>
    <x v="32"/>
    <x v="6"/>
    <x v="2"/>
    <x v="6"/>
    <x v="4"/>
  </r>
  <r>
    <x v="33"/>
    <x v="6"/>
    <x v="3"/>
    <x v="3"/>
    <x v="22"/>
  </r>
  <r>
    <x v="34"/>
    <x v="6"/>
    <x v="4"/>
    <x v="4"/>
    <x v="8"/>
  </r>
  <r>
    <x v="35"/>
    <x v="7"/>
    <x v="0"/>
    <x v="0"/>
    <x v="0"/>
  </r>
  <r>
    <x v="36"/>
    <x v="7"/>
    <x v="1"/>
    <x v="1"/>
    <x v="23"/>
  </r>
  <r>
    <x v="37"/>
    <x v="7"/>
    <x v="2"/>
    <x v="8"/>
    <x v="24"/>
  </r>
  <r>
    <x v="38"/>
    <x v="7"/>
    <x v="3"/>
    <x v="9"/>
    <x v="13"/>
  </r>
  <r>
    <x v="39"/>
    <x v="7"/>
    <x v="4"/>
    <x v="4"/>
    <x v="14"/>
  </r>
  <r>
    <x v="40"/>
    <x v="8"/>
    <x v="0"/>
    <x v="0"/>
    <x v="0"/>
  </r>
  <r>
    <x v="41"/>
    <x v="8"/>
    <x v="1"/>
    <x v="1"/>
    <x v="25"/>
  </r>
  <r>
    <x v="42"/>
    <x v="8"/>
    <x v="2"/>
    <x v="6"/>
    <x v="20"/>
  </r>
  <r>
    <x v="43"/>
    <x v="8"/>
    <x v="3"/>
    <x v="7"/>
    <x v="26"/>
  </r>
  <r>
    <x v="44"/>
    <x v="8"/>
    <x v="4"/>
    <x v="4"/>
    <x v="8"/>
  </r>
  <r>
    <x v="45"/>
    <x v="9"/>
    <x v="0"/>
    <x v="0"/>
    <x v="0"/>
  </r>
  <r>
    <x v="46"/>
    <x v="9"/>
    <x v="1"/>
    <x v="1"/>
    <x v="27"/>
  </r>
  <r>
    <x v="47"/>
    <x v="9"/>
    <x v="2"/>
    <x v="8"/>
    <x v="6"/>
  </r>
  <r>
    <x v="48"/>
    <x v="9"/>
    <x v="3"/>
    <x v="11"/>
    <x v="28"/>
  </r>
  <r>
    <x v="49"/>
    <x v="9"/>
    <x v="4"/>
    <x v="4"/>
    <x v="2"/>
  </r>
  <r>
    <x v="50"/>
    <x v="10"/>
    <x v="0"/>
    <x v="0"/>
    <x v="0"/>
  </r>
  <r>
    <x v="51"/>
    <x v="10"/>
    <x v="1"/>
    <x v="1"/>
    <x v="29"/>
  </r>
  <r>
    <x v="52"/>
    <x v="10"/>
    <x v="2"/>
    <x v="8"/>
    <x v="12"/>
  </r>
  <r>
    <x v="53"/>
    <x v="10"/>
    <x v="3"/>
    <x v="3"/>
    <x v="17"/>
  </r>
  <r>
    <x v="54"/>
    <x v="10"/>
    <x v="4"/>
    <x v="4"/>
    <x v="4"/>
  </r>
  <r>
    <x v="55"/>
    <x v="11"/>
    <x v="0"/>
    <x v="0"/>
    <x v="0"/>
  </r>
  <r>
    <x v="56"/>
    <x v="11"/>
    <x v="1"/>
    <x v="1"/>
    <x v="30"/>
  </r>
  <r>
    <x v="57"/>
    <x v="11"/>
    <x v="2"/>
    <x v="12"/>
    <x v="31"/>
  </r>
  <r>
    <x v="58"/>
    <x v="11"/>
    <x v="3"/>
    <x v="13"/>
    <x v="32"/>
  </r>
  <r>
    <x v="59"/>
    <x v="11"/>
    <x v="4"/>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I3:J16" firstHeaderRow="1" firstDataRow="1" firstDataCol="1"/>
  <pivotFields count="6">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0"/>
        <item x="1"/>
        <item x="2"/>
        <item x="3"/>
        <item x="4"/>
        <item x="5"/>
        <item x="6"/>
        <item x="7"/>
        <item x="8"/>
        <item x="9"/>
        <item x="10"/>
        <item x="11"/>
        <item t="default"/>
      </items>
    </pivotField>
    <pivotField showAll="0"/>
    <pivotField dataField="1" showAll="0">
      <items count="15">
        <item x="6"/>
        <item x="2"/>
        <item x="4"/>
        <item x="11"/>
        <item x="8"/>
        <item x="1"/>
        <item x="0"/>
        <item x="3"/>
        <item x="7"/>
        <item x="9"/>
        <item x="12"/>
        <item x="10"/>
        <item x="5"/>
        <item x="1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Discription" fld="3" subtotal="count" baseField="0" baseItem="0"/>
  </dataField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F3:G16" firstHeaderRow="1" firstDataRow="1" firstDataCol="1"/>
  <pivotFields count="6">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0"/>
        <item x="1"/>
        <item x="2"/>
        <item x="3"/>
        <item x="4"/>
        <item x="5"/>
        <item x="6"/>
        <item x="7"/>
        <item x="8"/>
        <item x="9"/>
        <item x="10"/>
        <item x="11"/>
        <item t="default"/>
      </items>
    </pivotField>
    <pivotField dataField="1" showAll="0"/>
    <pivotField showAll="0">
      <items count="15">
        <item x="6"/>
        <item x="2"/>
        <item x="4"/>
        <item x="11"/>
        <item x="8"/>
        <item x="1"/>
        <item x="0"/>
        <item x="3"/>
        <item x="7"/>
        <item x="9"/>
        <item x="12"/>
        <item x="10"/>
        <item x="5"/>
        <item x="13"/>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Category" fld="2" subtotal="count" baseField="0" baseItem="0"/>
  </dataFields>
  <chartFormats count="39">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2">
          <reference field="4294967294" count="1" selected="0">
            <x v="0"/>
          </reference>
          <reference field="1" count="1" selected="0">
            <x v="1"/>
          </reference>
        </references>
      </pivotArea>
    </chartFormat>
    <chartFormat chart="12" format="4">
      <pivotArea type="data" outline="0" fieldPosition="0">
        <references count="2">
          <reference field="4294967294" count="1" selected="0">
            <x v="0"/>
          </reference>
          <reference field="1" count="1" selected="0">
            <x v="2"/>
          </reference>
        </references>
      </pivotArea>
    </chartFormat>
    <chartFormat chart="12" format="5">
      <pivotArea type="data" outline="0" fieldPosition="0">
        <references count="2">
          <reference field="4294967294" count="1" selected="0">
            <x v="0"/>
          </reference>
          <reference field="1" count="1" selected="0">
            <x v="3"/>
          </reference>
        </references>
      </pivotArea>
    </chartFormat>
    <chartFormat chart="12" format="6">
      <pivotArea type="data" outline="0" fieldPosition="0">
        <references count="2">
          <reference field="4294967294" count="1" selected="0">
            <x v="0"/>
          </reference>
          <reference field="1" count="1" selected="0">
            <x v="4"/>
          </reference>
        </references>
      </pivotArea>
    </chartFormat>
    <chartFormat chart="12" format="7">
      <pivotArea type="data" outline="0" fieldPosition="0">
        <references count="2">
          <reference field="4294967294" count="1" selected="0">
            <x v="0"/>
          </reference>
          <reference field="1" count="1" selected="0">
            <x v="5"/>
          </reference>
        </references>
      </pivotArea>
    </chartFormat>
    <chartFormat chart="12" format="8">
      <pivotArea type="data" outline="0" fieldPosition="0">
        <references count="2">
          <reference field="4294967294" count="1" selected="0">
            <x v="0"/>
          </reference>
          <reference field="1" count="1" selected="0">
            <x v="6"/>
          </reference>
        </references>
      </pivotArea>
    </chartFormat>
    <chartFormat chart="12" format="9">
      <pivotArea type="data" outline="0" fieldPosition="0">
        <references count="2">
          <reference field="4294967294" count="1" selected="0">
            <x v="0"/>
          </reference>
          <reference field="1" count="1" selected="0">
            <x v="7"/>
          </reference>
        </references>
      </pivotArea>
    </chartFormat>
    <chartFormat chart="12" format="10">
      <pivotArea type="data" outline="0" fieldPosition="0">
        <references count="2">
          <reference field="4294967294" count="1" selected="0">
            <x v="0"/>
          </reference>
          <reference field="1" count="1" selected="0">
            <x v="8"/>
          </reference>
        </references>
      </pivotArea>
    </chartFormat>
    <chartFormat chart="12" format="11">
      <pivotArea type="data" outline="0" fieldPosition="0">
        <references count="2">
          <reference field="4294967294" count="1" selected="0">
            <x v="0"/>
          </reference>
          <reference field="1" count="1" selected="0">
            <x v="9"/>
          </reference>
        </references>
      </pivotArea>
    </chartFormat>
    <chartFormat chart="12" format="12">
      <pivotArea type="data" outline="0" fieldPosition="0">
        <references count="2">
          <reference field="4294967294" count="1" selected="0">
            <x v="0"/>
          </reference>
          <reference field="1" count="1" selected="0">
            <x v="10"/>
          </reference>
        </references>
      </pivotArea>
    </chartFormat>
    <chartFormat chart="12" format="13">
      <pivotArea type="data" outline="0" fieldPosition="0">
        <references count="2">
          <reference field="4294967294" count="1" selected="0">
            <x v="0"/>
          </reference>
          <reference field="1" count="1" selected="0">
            <x v="11"/>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1" count="1" selected="0">
            <x v="0"/>
          </reference>
        </references>
      </pivotArea>
    </chartFormat>
    <chartFormat chart="13" format="16">
      <pivotArea type="data" outline="0" fieldPosition="0">
        <references count="2">
          <reference field="4294967294" count="1" selected="0">
            <x v="0"/>
          </reference>
          <reference field="1" count="1" selected="0">
            <x v="1"/>
          </reference>
        </references>
      </pivotArea>
    </chartFormat>
    <chartFormat chart="13" format="17">
      <pivotArea type="data" outline="0" fieldPosition="0">
        <references count="2">
          <reference field="4294967294" count="1" selected="0">
            <x v="0"/>
          </reference>
          <reference field="1" count="1" selected="0">
            <x v="2"/>
          </reference>
        </references>
      </pivotArea>
    </chartFormat>
    <chartFormat chart="13" format="18">
      <pivotArea type="data" outline="0" fieldPosition="0">
        <references count="2">
          <reference field="4294967294" count="1" selected="0">
            <x v="0"/>
          </reference>
          <reference field="1" count="1" selected="0">
            <x v="3"/>
          </reference>
        </references>
      </pivotArea>
    </chartFormat>
    <chartFormat chart="13" format="19">
      <pivotArea type="data" outline="0" fieldPosition="0">
        <references count="2">
          <reference field="4294967294" count="1" selected="0">
            <x v="0"/>
          </reference>
          <reference field="1" count="1" selected="0">
            <x v="4"/>
          </reference>
        </references>
      </pivotArea>
    </chartFormat>
    <chartFormat chart="13" format="20">
      <pivotArea type="data" outline="0" fieldPosition="0">
        <references count="2">
          <reference field="4294967294" count="1" selected="0">
            <x v="0"/>
          </reference>
          <reference field="1" count="1" selected="0">
            <x v="5"/>
          </reference>
        </references>
      </pivotArea>
    </chartFormat>
    <chartFormat chart="13" format="21">
      <pivotArea type="data" outline="0" fieldPosition="0">
        <references count="2">
          <reference field="4294967294" count="1" selected="0">
            <x v="0"/>
          </reference>
          <reference field="1" count="1" selected="0">
            <x v="6"/>
          </reference>
        </references>
      </pivotArea>
    </chartFormat>
    <chartFormat chart="13" format="22">
      <pivotArea type="data" outline="0" fieldPosition="0">
        <references count="2">
          <reference field="4294967294" count="1" selected="0">
            <x v="0"/>
          </reference>
          <reference field="1" count="1" selected="0">
            <x v="7"/>
          </reference>
        </references>
      </pivotArea>
    </chartFormat>
    <chartFormat chart="13" format="23">
      <pivotArea type="data" outline="0" fieldPosition="0">
        <references count="2">
          <reference field="4294967294" count="1" selected="0">
            <x v="0"/>
          </reference>
          <reference field="1" count="1" selected="0">
            <x v="8"/>
          </reference>
        </references>
      </pivotArea>
    </chartFormat>
    <chartFormat chart="13" format="24">
      <pivotArea type="data" outline="0" fieldPosition="0">
        <references count="2">
          <reference field="4294967294" count="1" selected="0">
            <x v="0"/>
          </reference>
          <reference field="1" count="1" selected="0">
            <x v="9"/>
          </reference>
        </references>
      </pivotArea>
    </chartFormat>
    <chartFormat chart="13" format="25">
      <pivotArea type="data" outline="0" fieldPosition="0">
        <references count="2">
          <reference field="4294967294" count="1" selected="0">
            <x v="0"/>
          </reference>
          <reference field="1" count="1" selected="0">
            <x v="10"/>
          </reference>
        </references>
      </pivotArea>
    </chartFormat>
    <chartFormat chart="13" format="26">
      <pivotArea type="data" outline="0" fieldPosition="0">
        <references count="2">
          <reference field="4294967294" count="1" selected="0">
            <x v="0"/>
          </reference>
          <reference field="1" count="1" selected="0">
            <x v="11"/>
          </reference>
        </references>
      </pivotArea>
    </chartFormat>
    <chartFormat chart="11" format="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2">
          <reference field="4294967294" count="1" selected="0">
            <x v="0"/>
          </reference>
          <reference field="1" count="1" selected="0">
            <x v="1"/>
          </reference>
        </references>
      </pivotArea>
    </chartFormat>
    <chartFormat chart="11" format="3">
      <pivotArea type="data" outline="0" fieldPosition="0">
        <references count="2">
          <reference field="4294967294" count="1" selected="0">
            <x v="0"/>
          </reference>
          <reference field="1" count="1" selected="0">
            <x v="2"/>
          </reference>
        </references>
      </pivotArea>
    </chartFormat>
    <chartFormat chart="11" format="4">
      <pivotArea type="data" outline="0" fieldPosition="0">
        <references count="2">
          <reference field="4294967294" count="1" selected="0">
            <x v="0"/>
          </reference>
          <reference field="1" count="1" selected="0">
            <x v="3"/>
          </reference>
        </references>
      </pivotArea>
    </chartFormat>
    <chartFormat chart="11" format="5">
      <pivotArea type="data" outline="0" fieldPosition="0">
        <references count="2">
          <reference field="4294967294" count="1" selected="0">
            <x v="0"/>
          </reference>
          <reference field="1" count="1" selected="0">
            <x v="4"/>
          </reference>
        </references>
      </pivotArea>
    </chartFormat>
    <chartFormat chart="11" format="6">
      <pivotArea type="data" outline="0" fieldPosition="0">
        <references count="2">
          <reference field="4294967294" count="1" selected="0">
            <x v="0"/>
          </reference>
          <reference field="1" count="1" selected="0">
            <x v="5"/>
          </reference>
        </references>
      </pivotArea>
    </chartFormat>
    <chartFormat chart="11" format="7">
      <pivotArea type="data" outline="0" fieldPosition="0">
        <references count="2">
          <reference field="4294967294" count="1" selected="0">
            <x v="0"/>
          </reference>
          <reference field="1" count="1" selected="0">
            <x v="6"/>
          </reference>
        </references>
      </pivotArea>
    </chartFormat>
    <chartFormat chart="11" format="8">
      <pivotArea type="data" outline="0" fieldPosition="0">
        <references count="2">
          <reference field="4294967294" count="1" selected="0">
            <x v="0"/>
          </reference>
          <reference field="1" count="1" selected="0">
            <x v="7"/>
          </reference>
        </references>
      </pivotArea>
    </chartFormat>
    <chartFormat chart="11" format="9">
      <pivotArea type="data" outline="0" fieldPosition="0">
        <references count="2">
          <reference field="4294967294" count="1" selected="0">
            <x v="0"/>
          </reference>
          <reference field="1" count="1" selected="0">
            <x v="8"/>
          </reference>
        </references>
      </pivotArea>
    </chartFormat>
    <chartFormat chart="11" format="10">
      <pivotArea type="data" outline="0" fieldPosition="0">
        <references count="2">
          <reference field="4294967294" count="1" selected="0">
            <x v="0"/>
          </reference>
          <reference field="1" count="1" selected="0">
            <x v="9"/>
          </reference>
        </references>
      </pivotArea>
    </chartFormat>
    <chartFormat chart="11" format="11">
      <pivotArea type="data" outline="0" fieldPosition="0">
        <references count="2">
          <reference field="4294967294" count="1" selected="0">
            <x v="0"/>
          </reference>
          <reference field="1" count="1" selected="0">
            <x v="10"/>
          </reference>
        </references>
      </pivotArea>
    </chartFormat>
    <chartFormat chart="11" format="12">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3:B16" firstHeaderRow="1" firstDataRow="1" firstDataCol="1"/>
  <pivotFields count="6">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x="0"/>
        <item x="1"/>
        <item x="2"/>
        <item x="3"/>
        <item x="4"/>
        <item x="5"/>
        <item x="6"/>
        <item x="7"/>
        <item x="8"/>
        <item x="9"/>
        <item x="10"/>
        <item x="11"/>
        <item t="default"/>
      </items>
    </pivotField>
    <pivotField showAll="0">
      <items count="6">
        <item x="3"/>
        <item x="1"/>
        <item x="0"/>
        <item x="2"/>
        <item x="4"/>
        <item t="default"/>
      </items>
    </pivotField>
    <pivotField showAll="0">
      <items count="15">
        <item x="6"/>
        <item x="2"/>
        <item x="4"/>
        <item x="11"/>
        <item x="8"/>
        <item x="1"/>
        <item x="0"/>
        <item x="3"/>
        <item x="7"/>
        <item x="9"/>
        <item x="12"/>
        <item x="10"/>
        <item x="5"/>
        <item x="13"/>
        <item t="default"/>
      </items>
    </pivotField>
    <pivotField dataField="1" showAll="0">
      <items count="34">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5"/>
    <field x="1"/>
  </rowFields>
  <rowItems count="13">
    <i>
      <x v="1"/>
    </i>
    <i>
      <x v="2"/>
    </i>
    <i>
      <x v="3"/>
    </i>
    <i>
      <x v="4"/>
    </i>
    <i>
      <x v="5"/>
    </i>
    <i>
      <x v="6"/>
    </i>
    <i>
      <x v="7"/>
    </i>
    <i>
      <x v="8"/>
    </i>
    <i>
      <x v="9"/>
    </i>
    <i>
      <x v="10"/>
    </i>
    <i>
      <x v="11"/>
    </i>
    <i>
      <x v="12"/>
    </i>
    <i t="grand">
      <x/>
    </i>
  </rowItems>
  <colItems count="1">
    <i/>
  </colItems>
  <dataFields count="1">
    <dataField name="Sum of Actual amount" fld="4" baseField="0" baseItem="0"/>
  </dataFields>
  <chartFormats count="2">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s>
  <data>
    <tabular pivotCacheId="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3" name="PivotTable1"/>
  </pivotTables>
  <data>
    <tabular pivotCacheId="1">
      <items count="14">
        <i x="6" s="1"/>
        <i x="2" s="1"/>
        <i x="4" s="1"/>
        <i x="11" s="1"/>
        <i x="8" s="1"/>
        <i x="1" s="1"/>
        <i x="0" s="1"/>
        <i x="3" s="1"/>
        <i x="7" s="1"/>
        <i x="9" s="1"/>
        <i x="12" s="1"/>
        <i x="10" s="1"/>
        <i x="5"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amount" sourceName="Actual amount">
  <pivotTables>
    <pivotTable tabId="3" name="PivotTable1"/>
  </pivotTables>
  <data>
    <tabular pivotCacheId="1">
      <items count="33">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34950"/>
  <slicer name="Discription" cache="Slicer_Discription" caption="Discription" rowHeight="234950"/>
  <slicer name="Actual amount" cache="Slicer_Actual_amount" caption="Actual amoun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34950"/>
  <slicer name="Discription 1" cache="Slicer_Discription" caption="Discription" rowHeight="234950"/>
  <slicer name="Actual amount 1" cache="Slicer_Actual_amount" caption="Actual amou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16"/>
  <sheetViews>
    <sheetView topLeftCell="A27" zoomScaleNormal="100" workbookViewId="0">
      <selection activeCell="I20" sqref="I20"/>
    </sheetView>
  </sheetViews>
  <sheetFormatPr defaultRowHeight="13.8"/>
  <cols>
    <col min="1" max="1" width="13.09765625" customWidth="1"/>
    <col min="2" max="2" width="20.3984375" bestFit="1" customWidth="1"/>
    <col min="3" max="3" width="12.796875" bestFit="1" customWidth="1"/>
    <col min="4" max="4" width="18.3984375" bestFit="1" customWidth="1"/>
    <col min="6" max="6" width="13.09765625" customWidth="1"/>
    <col min="7" max="8" width="16.8984375" customWidth="1"/>
    <col min="9" max="9" width="13.09765625" customWidth="1"/>
    <col min="10" max="10" width="18.3984375" customWidth="1"/>
    <col min="11" max="11" width="18.3984375" bestFit="1" customWidth="1"/>
  </cols>
  <sheetData>
    <row r="3" spans="1:10">
      <c r="A3" s="12" t="s">
        <v>42</v>
      </c>
      <c r="B3" t="s">
        <v>55</v>
      </c>
      <c r="F3" s="12" t="s">
        <v>42</v>
      </c>
      <c r="G3" t="s">
        <v>57</v>
      </c>
      <c r="I3" s="12" t="s">
        <v>42</v>
      </c>
      <c r="J3" t="s">
        <v>56</v>
      </c>
    </row>
    <row r="4" spans="1:10">
      <c r="A4" s="13" t="s">
        <v>44</v>
      </c>
      <c r="B4" s="14">
        <v>23900</v>
      </c>
      <c r="F4" s="13" t="s">
        <v>5</v>
      </c>
      <c r="G4" s="14">
        <v>5</v>
      </c>
      <c r="I4" s="13" t="s">
        <v>5</v>
      </c>
      <c r="J4" s="14">
        <v>5</v>
      </c>
    </row>
    <row r="5" spans="1:10">
      <c r="A5" s="13" t="s">
        <v>45</v>
      </c>
      <c r="B5" s="14">
        <v>24600</v>
      </c>
      <c r="F5" s="13" t="s">
        <v>17</v>
      </c>
      <c r="G5" s="14">
        <v>5</v>
      </c>
      <c r="I5" s="13" t="s">
        <v>17</v>
      </c>
      <c r="J5" s="14">
        <v>5</v>
      </c>
    </row>
    <row r="6" spans="1:10">
      <c r="A6" s="13" t="s">
        <v>46</v>
      </c>
      <c r="B6" s="14">
        <v>22300</v>
      </c>
      <c r="F6" s="13" t="s">
        <v>20</v>
      </c>
      <c r="G6" s="14">
        <v>5</v>
      </c>
      <c r="I6" s="13" t="s">
        <v>20</v>
      </c>
      <c r="J6" s="14">
        <v>5</v>
      </c>
    </row>
    <row r="7" spans="1:10">
      <c r="A7" s="13" t="s">
        <v>47</v>
      </c>
      <c r="B7" s="14">
        <v>24200</v>
      </c>
      <c r="F7" s="13" t="s">
        <v>24</v>
      </c>
      <c r="G7" s="14">
        <v>5</v>
      </c>
      <c r="I7" s="13" t="s">
        <v>24</v>
      </c>
      <c r="J7" s="14">
        <v>5</v>
      </c>
    </row>
    <row r="8" spans="1:10">
      <c r="A8" s="13" t="s">
        <v>28</v>
      </c>
      <c r="B8" s="14">
        <v>24400</v>
      </c>
      <c r="F8" s="13" t="s">
        <v>28</v>
      </c>
      <c r="G8" s="14">
        <v>5</v>
      </c>
      <c r="I8" s="13" t="s">
        <v>28</v>
      </c>
      <c r="J8" s="14">
        <v>5</v>
      </c>
    </row>
    <row r="9" spans="1:10">
      <c r="A9" s="13" t="s">
        <v>48</v>
      </c>
      <c r="B9" s="14">
        <v>26000</v>
      </c>
      <c r="F9" s="13" t="s">
        <v>30</v>
      </c>
      <c r="G9" s="14">
        <v>5</v>
      </c>
      <c r="I9" s="13" t="s">
        <v>30</v>
      </c>
      <c r="J9" s="14">
        <v>5</v>
      </c>
    </row>
    <row r="10" spans="1:10">
      <c r="A10" s="13" t="s">
        <v>49</v>
      </c>
      <c r="B10" s="14">
        <v>22900</v>
      </c>
      <c r="F10" s="13" t="s">
        <v>33</v>
      </c>
      <c r="G10" s="14">
        <v>5</v>
      </c>
      <c r="I10" s="13" t="s">
        <v>33</v>
      </c>
      <c r="J10" s="14">
        <v>5</v>
      </c>
    </row>
    <row r="11" spans="1:10">
      <c r="A11" s="13" t="s">
        <v>50</v>
      </c>
      <c r="B11" s="14">
        <v>24500</v>
      </c>
      <c r="F11" s="13" t="s">
        <v>34</v>
      </c>
      <c r="G11" s="14">
        <v>5</v>
      </c>
      <c r="I11" s="13" t="s">
        <v>34</v>
      </c>
      <c r="J11" s="14">
        <v>5</v>
      </c>
    </row>
    <row r="12" spans="1:10">
      <c r="A12" s="13" t="s">
        <v>51</v>
      </c>
      <c r="B12" s="14">
        <v>23400</v>
      </c>
      <c r="F12" s="13" t="s">
        <v>35</v>
      </c>
      <c r="G12" s="14">
        <v>5</v>
      </c>
      <c r="I12" s="13" t="s">
        <v>35</v>
      </c>
      <c r="J12" s="14">
        <v>5</v>
      </c>
    </row>
    <row r="13" spans="1:10">
      <c r="A13" s="13" t="s">
        <v>52</v>
      </c>
      <c r="B13" s="14">
        <v>26500</v>
      </c>
      <c r="F13" s="13" t="s">
        <v>36</v>
      </c>
      <c r="G13" s="14">
        <v>5</v>
      </c>
      <c r="I13" s="13" t="s">
        <v>36</v>
      </c>
      <c r="J13" s="14">
        <v>5</v>
      </c>
    </row>
    <row r="14" spans="1:10">
      <c r="A14" s="13" t="s">
        <v>53</v>
      </c>
      <c r="B14" s="14">
        <v>24300</v>
      </c>
      <c r="F14" s="13" t="s">
        <v>38</v>
      </c>
      <c r="G14" s="14">
        <v>5</v>
      </c>
      <c r="I14" s="13" t="s">
        <v>38</v>
      </c>
      <c r="J14" s="14">
        <v>5</v>
      </c>
    </row>
    <row r="15" spans="1:10">
      <c r="A15" s="13" t="s">
        <v>54</v>
      </c>
      <c r="B15" s="14">
        <v>28000</v>
      </c>
      <c r="F15" s="13" t="s">
        <v>39</v>
      </c>
      <c r="G15" s="14">
        <v>5</v>
      </c>
      <c r="I15" s="13" t="s">
        <v>39</v>
      </c>
      <c r="J15" s="14">
        <v>5</v>
      </c>
    </row>
    <row r="16" spans="1:10">
      <c r="A16" s="13" t="s">
        <v>43</v>
      </c>
      <c r="B16" s="14">
        <v>295000</v>
      </c>
      <c r="F16" s="13" t="s">
        <v>43</v>
      </c>
      <c r="G16" s="14">
        <v>60</v>
      </c>
      <c r="I16" s="13" t="s">
        <v>43</v>
      </c>
      <c r="J16" s="14">
        <v>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A24" zoomScale="83" workbookViewId="0">
      <selection activeCell="X10" sqref="X10"/>
    </sheetView>
  </sheetViews>
  <sheetFormatPr defaultRowHeight="13.8"/>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activeCell="H15" sqref="H15"/>
    </sheetView>
  </sheetViews>
  <sheetFormatPr defaultRowHeight="13.8"/>
  <cols>
    <col min="1" max="1" width="12.3984375" customWidth="1"/>
    <col min="5" max="5" width="14" customWidth="1"/>
    <col min="8" max="8" width="31.19921875" customWidth="1"/>
  </cols>
  <sheetData>
    <row r="1" spans="1:8" ht="15.6">
      <c r="A1" s="1" t="s">
        <v>0</v>
      </c>
      <c r="B1" s="2" t="s">
        <v>1</v>
      </c>
      <c r="C1" s="2" t="s">
        <v>2</v>
      </c>
      <c r="D1" s="2" t="s">
        <v>3</v>
      </c>
      <c r="E1" s="2" t="s">
        <v>4</v>
      </c>
    </row>
    <row r="2" spans="1:8">
      <c r="A2" s="9">
        <v>45662</v>
      </c>
      <c r="B2" s="6" t="s">
        <v>5</v>
      </c>
      <c r="C2" s="6" t="s">
        <v>6</v>
      </c>
      <c r="D2" s="6" t="s">
        <v>7</v>
      </c>
      <c r="E2" s="6">
        <v>12000</v>
      </c>
    </row>
    <row r="3" spans="1:8">
      <c r="A3" s="10">
        <v>45665</v>
      </c>
      <c r="B3" s="7" t="s">
        <v>5</v>
      </c>
      <c r="C3" s="7" t="s">
        <v>8</v>
      </c>
      <c r="D3" s="7" t="s">
        <v>9</v>
      </c>
      <c r="E3" s="7">
        <v>4200</v>
      </c>
    </row>
    <row r="4" spans="1:8">
      <c r="A4" s="9">
        <v>45669</v>
      </c>
      <c r="B4" s="6" t="s">
        <v>5</v>
      </c>
      <c r="C4" s="6" t="s">
        <v>10</v>
      </c>
      <c r="D4" s="6" t="s">
        <v>11</v>
      </c>
      <c r="E4" s="6">
        <v>2800</v>
      </c>
    </row>
    <row r="5" spans="1:8">
      <c r="A5" s="10">
        <v>45675</v>
      </c>
      <c r="B5" s="7" t="s">
        <v>5</v>
      </c>
      <c r="C5" s="7" t="s">
        <v>13</v>
      </c>
      <c r="D5" s="7" t="s">
        <v>14</v>
      </c>
      <c r="E5" s="7">
        <v>2300</v>
      </c>
      <c r="H5" s="3" t="s">
        <v>12</v>
      </c>
    </row>
    <row r="6" spans="1:8">
      <c r="A6" s="9">
        <v>45682</v>
      </c>
      <c r="B6" s="6" t="s">
        <v>5</v>
      </c>
      <c r="C6" s="6" t="s">
        <v>15</v>
      </c>
      <c r="D6" s="6" t="s">
        <v>16</v>
      </c>
      <c r="E6" s="6">
        <v>2600</v>
      </c>
      <c r="H6" s="4">
        <f>SUM(E3:E62)</f>
        <v>283000</v>
      </c>
    </row>
    <row r="7" spans="1:8">
      <c r="A7" s="10">
        <v>45693</v>
      </c>
      <c r="B7" s="7" t="s">
        <v>17</v>
      </c>
      <c r="C7" s="7" t="s">
        <v>6</v>
      </c>
      <c r="D7" s="7" t="s">
        <v>7</v>
      </c>
      <c r="E7" s="7">
        <v>12000</v>
      </c>
    </row>
    <row r="8" spans="1:8">
      <c r="A8" s="9">
        <v>45697</v>
      </c>
      <c r="B8" s="6" t="s">
        <v>17</v>
      </c>
      <c r="C8" s="6" t="s">
        <v>8</v>
      </c>
      <c r="D8" s="6" t="s">
        <v>9</v>
      </c>
      <c r="E8" s="6">
        <v>5100</v>
      </c>
    </row>
    <row r="9" spans="1:8">
      <c r="A9" s="10">
        <v>45700</v>
      </c>
      <c r="B9" s="7" t="s">
        <v>17</v>
      </c>
      <c r="C9" s="7" t="s">
        <v>10</v>
      </c>
      <c r="D9" s="7" t="s">
        <v>11</v>
      </c>
      <c r="E9" s="7">
        <v>3200</v>
      </c>
    </row>
    <row r="10" spans="1:8">
      <c r="A10" s="9">
        <v>45706</v>
      </c>
      <c r="B10" s="6" t="s">
        <v>17</v>
      </c>
      <c r="C10" s="6" t="s">
        <v>13</v>
      </c>
      <c r="D10" s="6" t="s">
        <v>14</v>
      </c>
      <c r="E10" s="6">
        <v>1900</v>
      </c>
      <c r="H10" s="2" t="s">
        <v>18</v>
      </c>
    </row>
    <row r="11" spans="1:8">
      <c r="A11" s="10">
        <v>45712</v>
      </c>
      <c r="B11" s="7" t="s">
        <v>17</v>
      </c>
      <c r="C11" s="7" t="s">
        <v>15</v>
      </c>
      <c r="D11" s="7" t="s">
        <v>19</v>
      </c>
      <c r="E11" s="7">
        <v>2400</v>
      </c>
      <c r="H11" s="4">
        <f>SUMIF(C:C,"food",E:E)</f>
        <v>55800</v>
      </c>
    </row>
    <row r="12" spans="1:8">
      <c r="A12" s="9">
        <v>45721</v>
      </c>
      <c r="B12" s="6" t="s">
        <v>20</v>
      </c>
      <c r="C12" s="6" t="s">
        <v>6</v>
      </c>
      <c r="D12" s="6" t="s">
        <v>7</v>
      </c>
      <c r="E12" s="6">
        <v>12000</v>
      </c>
    </row>
    <row r="13" spans="1:8">
      <c r="A13" s="10">
        <v>45724</v>
      </c>
      <c r="B13" s="7" t="s">
        <v>20</v>
      </c>
      <c r="C13" s="7" t="s">
        <v>8</v>
      </c>
      <c r="D13" s="7" t="s">
        <v>9</v>
      </c>
      <c r="E13" s="7">
        <v>3900</v>
      </c>
    </row>
    <row r="14" spans="1:8">
      <c r="A14" s="9">
        <v>45730</v>
      </c>
      <c r="B14" s="6" t="s">
        <v>20</v>
      </c>
      <c r="C14" s="6" t="s">
        <v>10</v>
      </c>
      <c r="D14" s="6" t="s">
        <v>22</v>
      </c>
      <c r="E14" s="6">
        <v>2600</v>
      </c>
      <c r="H14" s="2" t="s">
        <v>21</v>
      </c>
    </row>
    <row r="15" spans="1:8">
      <c r="A15" s="10">
        <v>45736</v>
      </c>
      <c r="B15" s="7" t="s">
        <v>20</v>
      </c>
      <c r="C15" s="7" t="s">
        <v>13</v>
      </c>
      <c r="D15" s="7" t="s">
        <v>23</v>
      </c>
      <c r="E15" s="7">
        <v>1500</v>
      </c>
      <c r="H15" s="4">
        <f>AVERAGE(E3:E62)</f>
        <v>4796.6101694915251</v>
      </c>
    </row>
    <row r="16" spans="1:8">
      <c r="A16" s="9">
        <v>45742</v>
      </c>
      <c r="B16" s="6" t="s">
        <v>20</v>
      </c>
      <c r="C16" s="6" t="s">
        <v>15</v>
      </c>
      <c r="D16" s="6" t="s">
        <v>16</v>
      </c>
      <c r="E16" s="6">
        <v>2300</v>
      </c>
    </row>
    <row r="17" spans="1:8">
      <c r="A17" s="10">
        <v>45752</v>
      </c>
      <c r="B17" s="7" t="s">
        <v>24</v>
      </c>
      <c r="C17" s="7" t="s">
        <v>6</v>
      </c>
      <c r="D17" s="7" t="s">
        <v>7</v>
      </c>
      <c r="E17" s="7">
        <v>12000</v>
      </c>
    </row>
    <row r="18" spans="1:8">
      <c r="A18" s="9">
        <v>45756</v>
      </c>
      <c r="B18" s="6" t="s">
        <v>24</v>
      </c>
      <c r="C18" s="6" t="s">
        <v>8</v>
      </c>
      <c r="D18" s="6" t="s">
        <v>9</v>
      </c>
      <c r="E18" s="6">
        <v>4500</v>
      </c>
      <c r="H18" s="5" t="s">
        <v>25</v>
      </c>
    </row>
    <row r="19" spans="1:8">
      <c r="A19" s="10">
        <v>45760</v>
      </c>
      <c r="B19" s="7" t="s">
        <v>24</v>
      </c>
      <c r="C19" s="7" t="s">
        <v>10</v>
      </c>
      <c r="D19" s="7" t="s">
        <v>26</v>
      </c>
      <c r="E19" s="7">
        <v>3000</v>
      </c>
      <c r="H19" s="4">
        <f>SUMIF(B:B,"January",E:E)</f>
        <v>23900</v>
      </c>
    </row>
    <row r="20" spans="1:8">
      <c r="A20" s="9">
        <v>45766</v>
      </c>
      <c r="B20" s="6" t="s">
        <v>24</v>
      </c>
      <c r="C20" s="6" t="s">
        <v>13</v>
      </c>
      <c r="D20" s="6" t="s">
        <v>14</v>
      </c>
      <c r="E20" s="6">
        <v>2200</v>
      </c>
    </row>
    <row r="21" spans="1:8">
      <c r="A21" s="10">
        <v>45772</v>
      </c>
      <c r="B21" s="7" t="s">
        <v>24</v>
      </c>
      <c r="C21" s="7" t="s">
        <v>15</v>
      </c>
      <c r="D21" s="7" t="s">
        <v>16</v>
      </c>
      <c r="E21" s="7">
        <v>2500</v>
      </c>
    </row>
    <row r="22" spans="1:8">
      <c r="A22" s="9">
        <v>45782</v>
      </c>
      <c r="B22" s="6" t="s">
        <v>28</v>
      </c>
      <c r="C22" s="6" t="s">
        <v>6</v>
      </c>
      <c r="D22" s="6" t="s">
        <v>7</v>
      </c>
      <c r="E22" s="6">
        <v>12000</v>
      </c>
      <c r="H22" s="5" t="s">
        <v>27</v>
      </c>
    </row>
    <row r="23" spans="1:8">
      <c r="A23" s="10">
        <v>45785</v>
      </c>
      <c r="B23" s="7" t="s">
        <v>28</v>
      </c>
      <c r="C23" s="7" t="s">
        <v>8</v>
      </c>
      <c r="D23" s="7" t="s">
        <v>9</v>
      </c>
      <c r="E23" s="7">
        <v>4800</v>
      </c>
      <c r="H23" s="4">
        <f>SUMIFS(E:E,B:B,"January",C:C,"Food")</f>
        <v>4200</v>
      </c>
    </row>
    <row r="24" spans="1:8">
      <c r="A24" s="9">
        <v>45791</v>
      </c>
      <c r="B24" s="6" t="s">
        <v>28</v>
      </c>
      <c r="C24" s="6" t="s">
        <v>10</v>
      </c>
      <c r="D24" s="6" t="s">
        <v>26</v>
      </c>
      <c r="E24" s="6">
        <v>2900</v>
      </c>
    </row>
    <row r="25" spans="1:8">
      <c r="A25" s="10">
        <v>45797</v>
      </c>
      <c r="B25" s="7" t="s">
        <v>28</v>
      </c>
      <c r="C25" s="7" t="s">
        <v>13</v>
      </c>
      <c r="D25" s="7" t="s">
        <v>29</v>
      </c>
      <c r="E25" s="7">
        <v>2100</v>
      </c>
    </row>
    <row r="26" spans="1:8">
      <c r="A26" s="9">
        <v>45803</v>
      </c>
      <c r="B26" s="6" t="s">
        <v>28</v>
      </c>
      <c r="C26" s="6" t="s">
        <v>15</v>
      </c>
      <c r="D26" s="6" t="s">
        <v>16</v>
      </c>
      <c r="E26" s="6">
        <v>2600</v>
      </c>
    </row>
    <row r="27" spans="1:8">
      <c r="A27" s="10">
        <v>45813</v>
      </c>
      <c r="B27" s="7" t="s">
        <v>30</v>
      </c>
      <c r="C27" s="7" t="s">
        <v>6</v>
      </c>
      <c r="D27" s="7" t="s">
        <v>7</v>
      </c>
      <c r="E27" s="7">
        <v>12000</v>
      </c>
    </row>
    <row r="28" spans="1:8">
      <c r="A28" s="9">
        <v>45817</v>
      </c>
      <c r="B28" s="6" t="s">
        <v>30</v>
      </c>
      <c r="C28" s="6" t="s">
        <v>8</v>
      </c>
      <c r="D28" s="6" t="s">
        <v>9</v>
      </c>
      <c r="E28" s="6">
        <v>5200</v>
      </c>
      <c r="H28" s="5" t="s">
        <v>31</v>
      </c>
    </row>
    <row r="29" spans="1:8">
      <c r="A29" s="10">
        <v>45821</v>
      </c>
      <c r="B29" s="7" t="s">
        <v>30</v>
      </c>
      <c r="C29" s="7" t="s">
        <v>10</v>
      </c>
      <c r="D29" s="7" t="s">
        <v>26</v>
      </c>
      <c r="E29" s="7">
        <v>3300</v>
      </c>
      <c r="H29" s="4">
        <f>AVERAGEIF(B:B,"January",E:E)</f>
        <v>4780</v>
      </c>
    </row>
    <row r="30" spans="1:8">
      <c r="A30" s="9">
        <v>45826</v>
      </c>
      <c r="B30" s="6" t="s">
        <v>30</v>
      </c>
      <c r="C30" s="6" t="s">
        <v>13</v>
      </c>
      <c r="D30" s="6" t="s">
        <v>32</v>
      </c>
      <c r="E30" s="6">
        <v>2800</v>
      </c>
    </row>
    <row r="31" spans="1:8">
      <c r="A31" s="10">
        <v>45833</v>
      </c>
      <c r="B31" s="7" t="s">
        <v>30</v>
      </c>
      <c r="C31" s="7" t="s">
        <v>15</v>
      </c>
      <c r="D31" s="7" t="s">
        <v>16</v>
      </c>
      <c r="E31" s="7">
        <v>2700</v>
      </c>
    </row>
    <row r="32" spans="1:8">
      <c r="A32" s="9">
        <v>45843</v>
      </c>
      <c r="B32" s="6" t="s">
        <v>33</v>
      </c>
      <c r="C32" s="6" t="s">
        <v>6</v>
      </c>
      <c r="D32" s="6" t="s">
        <v>7</v>
      </c>
      <c r="E32" s="6">
        <v>12000</v>
      </c>
    </row>
    <row r="33" spans="1:5">
      <c r="A33" s="10">
        <v>45846</v>
      </c>
      <c r="B33" s="7" t="s">
        <v>33</v>
      </c>
      <c r="C33" s="7" t="s">
        <v>8</v>
      </c>
      <c r="D33" s="7" t="s">
        <v>9</v>
      </c>
      <c r="E33" s="7">
        <v>4100</v>
      </c>
    </row>
    <row r="34" spans="1:5">
      <c r="A34" s="9">
        <v>45850</v>
      </c>
      <c r="B34" s="6" t="s">
        <v>33</v>
      </c>
      <c r="C34" s="6" t="s">
        <v>10</v>
      </c>
      <c r="D34" s="6" t="s">
        <v>22</v>
      </c>
      <c r="E34" s="6">
        <v>2600</v>
      </c>
    </row>
    <row r="35" spans="1:5">
      <c r="A35" s="10">
        <v>45857</v>
      </c>
      <c r="B35" s="7" t="s">
        <v>33</v>
      </c>
      <c r="C35" s="7" t="s">
        <v>13</v>
      </c>
      <c r="D35" s="7" t="s">
        <v>14</v>
      </c>
      <c r="E35" s="7">
        <v>1800</v>
      </c>
    </row>
    <row r="36" spans="1:5">
      <c r="A36" s="9">
        <v>45864</v>
      </c>
      <c r="B36" s="6" t="s">
        <v>33</v>
      </c>
      <c r="C36" s="6" t="s">
        <v>15</v>
      </c>
      <c r="D36" s="6" t="s">
        <v>16</v>
      </c>
      <c r="E36" s="6">
        <v>2400</v>
      </c>
    </row>
    <row r="37" spans="1:5">
      <c r="A37" s="10">
        <v>45874</v>
      </c>
      <c r="B37" s="7" t="s">
        <v>34</v>
      </c>
      <c r="C37" s="7" t="s">
        <v>6</v>
      </c>
      <c r="D37" s="7" t="s">
        <v>7</v>
      </c>
      <c r="E37" s="7">
        <v>12000</v>
      </c>
    </row>
    <row r="38" spans="1:5">
      <c r="A38" s="9">
        <v>45878</v>
      </c>
      <c r="B38" s="6" t="s">
        <v>34</v>
      </c>
      <c r="C38" s="6" t="s">
        <v>8</v>
      </c>
      <c r="D38" s="6" t="s">
        <v>9</v>
      </c>
      <c r="E38" s="6">
        <v>4700</v>
      </c>
    </row>
    <row r="39" spans="1:5">
      <c r="A39" s="10">
        <v>45883</v>
      </c>
      <c r="B39" s="7" t="s">
        <v>34</v>
      </c>
      <c r="C39" s="7" t="s">
        <v>10</v>
      </c>
      <c r="D39" s="7" t="s">
        <v>26</v>
      </c>
      <c r="E39" s="7">
        <v>3100</v>
      </c>
    </row>
    <row r="40" spans="1:5">
      <c r="A40" s="9">
        <v>45889</v>
      </c>
      <c r="B40" s="6" t="s">
        <v>34</v>
      </c>
      <c r="C40" s="6" t="s">
        <v>13</v>
      </c>
      <c r="D40" s="6" t="s">
        <v>29</v>
      </c>
      <c r="E40" s="6">
        <v>2200</v>
      </c>
    </row>
    <row r="41" spans="1:5">
      <c r="A41" s="10">
        <v>45895</v>
      </c>
      <c r="B41" s="7" t="s">
        <v>34</v>
      </c>
      <c r="C41" s="7" t="s">
        <v>15</v>
      </c>
      <c r="D41" s="7" t="s">
        <v>16</v>
      </c>
      <c r="E41" s="7">
        <v>2500</v>
      </c>
    </row>
    <row r="42" spans="1:5">
      <c r="A42" s="9">
        <v>45905</v>
      </c>
      <c r="B42" s="6" t="s">
        <v>35</v>
      </c>
      <c r="C42" s="6" t="s">
        <v>6</v>
      </c>
      <c r="D42" s="6" t="s">
        <v>7</v>
      </c>
      <c r="E42" s="6">
        <v>12000</v>
      </c>
    </row>
    <row r="43" spans="1:5">
      <c r="A43" s="10">
        <v>45908</v>
      </c>
      <c r="B43" s="7" t="s">
        <v>35</v>
      </c>
      <c r="C43" s="7" t="s">
        <v>8</v>
      </c>
      <c r="D43" s="7" t="s">
        <v>9</v>
      </c>
      <c r="E43" s="7">
        <v>4300</v>
      </c>
    </row>
    <row r="44" spans="1:5">
      <c r="A44" s="9">
        <v>45913</v>
      </c>
      <c r="B44" s="6" t="s">
        <v>35</v>
      </c>
      <c r="C44" s="6" t="s">
        <v>10</v>
      </c>
      <c r="D44" s="6" t="s">
        <v>22</v>
      </c>
      <c r="E44" s="6">
        <v>2700</v>
      </c>
    </row>
    <row r="45" spans="1:5">
      <c r="A45" s="10">
        <v>45918</v>
      </c>
      <c r="B45" s="7" t="s">
        <v>35</v>
      </c>
      <c r="C45" s="7" t="s">
        <v>13</v>
      </c>
      <c r="D45" s="7" t="s">
        <v>23</v>
      </c>
      <c r="E45" s="7">
        <v>2000</v>
      </c>
    </row>
    <row r="46" spans="1:5">
      <c r="A46" s="9">
        <v>45925</v>
      </c>
      <c r="B46" s="6" t="s">
        <v>35</v>
      </c>
      <c r="C46" s="6" t="s">
        <v>15</v>
      </c>
      <c r="D46" s="6" t="s">
        <v>16</v>
      </c>
      <c r="E46" s="6">
        <v>2400</v>
      </c>
    </row>
    <row r="47" spans="1:5">
      <c r="A47" s="10">
        <v>45935</v>
      </c>
      <c r="B47" s="7" t="s">
        <v>36</v>
      </c>
      <c r="C47" s="7" t="s">
        <v>6</v>
      </c>
      <c r="D47" s="7" t="s">
        <v>7</v>
      </c>
      <c r="E47" s="7">
        <v>12000</v>
      </c>
    </row>
    <row r="48" spans="1:5">
      <c r="A48" s="9">
        <v>45939</v>
      </c>
      <c r="B48" s="6" t="s">
        <v>36</v>
      </c>
      <c r="C48" s="6" t="s">
        <v>8</v>
      </c>
      <c r="D48" s="6" t="s">
        <v>9</v>
      </c>
      <c r="E48" s="6">
        <v>5000</v>
      </c>
    </row>
    <row r="49" spans="1:5">
      <c r="A49" s="10">
        <v>45944</v>
      </c>
      <c r="B49" s="7" t="s">
        <v>36</v>
      </c>
      <c r="C49" s="7" t="s">
        <v>10</v>
      </c>
      <c r="D49" s="7" t="s">
        <v>26</v>
      </c>
      <c r="E49" s="7">
        <v>3200</v>
      </c>
    </row>
    <row r="50" spans="1:5">
      <c r="A50" s="9">
        <v>45950</v>
      </c>
      <c r="B50" s="6" t="s">
        <v>36</v>
      </c>
      <c r="C50" s="6" t="s">
        <v>13</v>
      </c>
      <c r="D50" s="6" t="s">
        <v>37</v>
      </c>
      <c r="E50" s="6">
        <v>3500</v>
      </c>
    </row>
    <row r="51" spans="1:5">
      <c r="A51" s="10">
        <v>45956</v>
      </c>
      <c r="B51" s="7" t="s">
        <v>36</v>
      </c>
      <c r="C51" s="7" t="s">
        <v>15</v>
      </c>
      <c r="D51" s="7" t="s">
        <v>16</v>
      </c>
      <c r="E51" s="7">
        <v>2800</v>
      </c>
    </row>
    <row r="52" spans="1:5">
      <c r="A52" s="9">
        <v>45966</v>
      </c>
      <c r="B52" s="6" t="s">
        <v>38</v>
      </c>
      <c r="C52" s="6" t="s">
        <v>6</v>
      </c>
      <c r="D52" s="6" t="s">
        <v>7</v>
      </c>
      <c r="E52" s="6">
        <v>12000</v>
      </c>
    </row>
    <row r="53" spans="1:5">
      <c r="A53" s="10">
        <v>45969</v>
      </c>
      <c r="B53" s="7" t="s">
        <v>38</v>
      </c>
      <c r="C53" s="7" t="s">
        <v>8</v>
      </c>
      <c r="D53" s="7" t="s">
        <v>9</v>
      </c>
      <c r="E53" s="7">
        <v>4600</v>
      </c>
    </row>
    <row r="54" spans="1:5">
      <c r="A54" s="9">
        <v>45974</v>
      </c>
      <c r="B54" s="6" t="s">
        <v>38</v>
      </c>
      <c r="C54" s="6" t="s">
        <v>10</v>
      </c>
      <c r="D54" s="6" t="s">
        <v>26</v>
      </c>
      <c r="E54" s="6">
        <v>3000</v>
      </c>
    </row>
    <row r="55" spans="1:5">
      <c r="A55" s="10">
        <v>45980</v>
      </c>
      <c r="B55" s="7" t="s">
        <v>38</v>
      </c>
      <c r="C55" s="7" t="s">
        <v>13</v>
      </c>
      <c r="D55" s="7" t="s">
        <v>14</v>
      </c>
      <c r="E55" s="7">
        <v>2100</v>
      </c>
    </row>
    <row r="56" spans="1:5">
      <c r="A56" s="9">
        <v>45986</v>
      </c>
      <c r="B56" s="6" t="s">
        <v>38</v>
      </c>
      <c r="C56" s="6" t="s">
        <v>15</v>
      </c>
      <c r="D56" s="6" t="s">
        <v>16</v>
      </c>
      <c r="E56" s="6">
        <v>2600</v>
      </c>
    </row>
    <row r="57" spans="1:5">
      <c r="A57" s="10">
        <v>45996</v>
      </c>
      <c r="B57" s="7" t="s">
        <v>39</v>
      </c>
      <c r="C57" s="7" t="s">
        <v>6</v>
      </c>
      <c r="D57" s="7" t="s">
        <v>7</v>
      </c>
      <c r="E57" s="7">
        <v>12000</v>
      </c>
    </row>
    <row r="58" spans="1:5">
      <c r="A58" s="9">
        <v>46000</v>
      </c>
      <c r="B58" s="6" t="s">
        <v>39</v>
      </c>
      <c r="C58" s="6" t="s">
        <v>8</v>
      </c>
      <c r="D58" s="6" t="s">
        <v>9</v>
      </c>
      <c r="E58" s="6">
        <v>5400</v>
      </c>
    </row>
    <row r="59" spans="1:5">
      <c r="A59" s="10">
        <v>46005</v>
      </c>
      <c r="B59" s="7" t="s">
        <v>39</v>
      </c>
      <c r="C59" s="7" t="s">
        <v>10</v>
      </c>
      <c r="D59" s="7" t="s">
        <v>40</v>
      </c>
      <c r="E59" s="7">
        <v>3600</v>
      </c>
    </row>
    <row r="60" spans="1:5">
      <c r="A60" s="9">
        <v>46011</v>
      </c>
      <c r="B60" s="6" t="s">
        <v>39</v>
      </c>
      <c r="C60" s="6" t="s">
        <v>13</v>
      </c>
      <c r="D60" s="6" t="s">
        <v>41</v>
      </c>
      <c r="E60" s="6">
        <v>4000</v>
      </c>
    </row>
    <row r="61" spans="1:5">
      <c r="A61" s="11">
        <v>46017</v>
      </c>
      <c r="B61" s="8" t="s">
        <v>39</v>
      </c>
      <c r="C61" s="8" t="s">
        <v>15</v>
      </c>
      <c r="D61" s="8" t="s">
        <v>16</v>
      </c>
      <c r="E61" s="8">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srinu</cp:lastModifiedBy>
  <dcterms:created xsi:type="dcterms:W3CDTF">2026-01-20T04:18:20Z</dcterms:created>
  <dcterms:modified xsi:type="dcterms:W3CDTF">2026-01-21T14:21:26Z</dcterms:modified>
</cp:coreProperties>
</file>